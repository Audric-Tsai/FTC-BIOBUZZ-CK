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elanja" sheetId="1" state="visible" r:id="rId1"/>
    <sheet name="Polikarbo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$&quot;#,##0.00"/>
    <numFmt numFmtId="165" formatCode="&quot;Rp&quot;#,##0"/>
  </numFmts>
  <fonts count="6">
    <font>
      <name val="Calibri"/>
      <family val="2"/>
      <color theme="1"/>
      <sz val="11"/>
      <scheme val="minor"/>
    </font>
    <font>
      <b val="1"/>
    </font>
    <font>
      <color rgb="FF0563C1"/>
      <u val="single"/>
    </font>
    <font>
      <i val="1"/>
    </font>
    <font>
      <i val="1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3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vrobotics.com/rev-41-1600/" TargetMode="External" Id="rId1" /><Relationship Type="http://schemas.openxmlformats.org/officeDocument/2006/relationships/hyperlink" Target="https://shopee.co.id/Polycarbonate-Sheet-3mm-Padat-Bening-Polikarbonat-Lembaran-Clear-i.358312392.3683120743" TargetMode="External" Id="rId2" /><Relationship Type="http://schemas.openxmlformats.org/officeDocument/2006/relationships/hyperlink" Target="https://shopee.co.id/Nylon-PE-6mm-x-100cm-x-200cm-Lembaran-(-PolyEthylene-Sheet-HDPE-Plate-)-i.1247310023.49657775429" TargetMode="External" Id="rId3" /><Relationship Type="http://schemas.openxmlformats.org/officeDocument/2006/relationships/hyperlink" Target="https://shopee.co.id/UHMWPE-12mm-100cm-x-200cm-Sheet-Lembaran-(-Polyethylene-)-i.43613792.9246365358" TargetMode="External" Id="rId4" /><Relationship Type="http://schemas.openxmlformats.org/officeDocument/2006/relationships/hyperlink" Target="https://shopee.co.id/MIKA-AKRILIK-LEMBARAN-ACRYLIC-SHEET-5MM-X-100CM-X-200CM-i.1277418402.27123815875" TargetMode="External" Id="rId5" /><Relationship Type="http://schemas.openxmlformats.org/officeDocument/2006/relationships/hyperlink" Target="https://www.revrobotics.com/rev-41-1600/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shopee.co.id/Polycarbonate-Sheet-3mm-Padat-Bening-Polikarbonat-Lembaran-Clear-i.358312392.3683120743" TargetMode="External" Id="rId1" /><Relationship Type="http://schemas.openxmlformats.org/officeDocument/2006/relationships/hyperlink" Target="https://shopee.co.id/Nylon-PE-6mm-x-100cm-x-200cm-Lembaran-(-PolyEthylene-Sheet-HDPE-Plate-)-i.1247310023.49657775429" TargetMode="External" Id="rId2" /><Relationship Type="http://schemas.openxmlformats.org/officeDocument/2006/relationships/hyperlink" Target="https://shopee.co.id/UHMWPE-12mm-100cm-x-200cm-Sheet-Lembaran-(-Polyethylene-)-i.43613792.9246365358" TargetMode="External" Id="rId3" /><Relationship Type="http://schemas.openxmlformats.org/officeDocument/2006/relationships/hyperlink" Target="https://shopee.co.id/Akrilik-Lembaran-Bening-3-mm-Acrylic-Sheet-Transparent-3mm-custom-laser-i.29403022.573928563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22" customWidth="1" min="4" max="4"/>
    <col width="14" customWidth="1" min="5" max="5"/>
    <col width="46" customWidth="1" min="6" max="6"/>
    <col width="14" customWidth="1" min="7" max="7"/>
    <col width="16" customWidth="1" min="8" max="8"/>
    <col width="24" customWidth="1" min="9" max="9"/>
    <col width="40" customWidth="1" min="11" max="11"/>
  </cols>
  <sheetData>
    <row r="1">
      <c r="A1" s="1" t="inlineStr">
        <is>
          <t>No.</t>
        </is>
      </c>
      <c r="B1" s="1" t="inlineStr">
        <is>
          <t>SKU</t>
        </is>
      </c>
      <c r="C1" s="1" t="inlineStr">
        <is>
          <t>Nama Part</t>
        </is>
      </c>
      <c r="D1" s="1" t="inlineStr">
        <is>
          <t>Nama Individual Part</t>
        </is>
      </c>
      <c r="E1" s="1" t="inlineStr">
        <is>
          <t>Harga Satuan</t>
        </is>
      </c>
      <c r="F1" s="1" t="inlineStr">
        <is>
          <t>Link Beli</t>
        </is>
      </c>
      <c r="G1" s="1" t="inlineStr">
        <is>
          <t>Jumlah yang Perlu Dibeli</t>
        </is>
      </c>
      <c r="H1" s="1" t="inlineStr">
        <is>
          <t>Total Harga</t>
        </is>
      </c>
      <c r="I1" s="1" t="inlineStr">
        <is>
          <t>Harga Asli (IDR)</t>
        </is>
      </c>
      <c r="K1" s="9" t="inlineStr">
        <is>
          <t>Kurs USD -&gt; IDR (referensi 2026-08-20, update manual)</t>
        </is>
      </c>
    </row>
    <row r="2">
      <c r="A2" t="n">
        <v>1</v>
      </c>
      <c r="B2" t="inlineStr">
        <is>
          <t>REV-41-1600</t>
        </is>
      </c>
      <c r="C2" t="inlineStr">
        <is>
          <t>UltraPlanetary Gearbox Kit &amp; HD Hex Motor</t>
        </is>
      </c>
      <c r="D2" t="inlineStr">
        <is>
          <t>HD Hex Motor</t>
        </is>
      </c>
      <c r="E2" s="2" t="n">
        <v>50</v>
      </c>
      <c r="F2" s="3" t="inlineStr">
        <is>
          <t>https://www.revrobotics.com/rev-41-1600/</t>
        </is>
      </c>
      <c r="G2" t="n">
        <v>2</v>
      </c>
      <c r="H2" s="2">
        <f>E2*G2</f>
        <v/>
      </c>
      <c r="K2" s="10" t="n">
        <v>17800</v>
      </c>
    </row>
    <row r="3">
      <c r="A3" t="n">
        <v>2</v>
      </c>
      <c r="B3" t="inlineStr">
        <is>
          <t>NA</t>
        </is>
      </c>
      <c r="C3" t="inlineStr">
        <is>
          <t>Polikarbonat (Lexan) Sheet</t>
        </is>
      </c>
      <c r="D3" t="inlineStr">
        <is>
          <t>3mm, ~2m panjang (asumsi dijual per meter, cek satuan di listing)</t>
        </is>
      </c>
      <c r="E3" s="2">
        <f>I3/$K$2</f>
        <v/>
      </c>
      <c r="F3" s="3" t="inlineStr">
        <is>
          <t>https://shopee.co.id/Polycarbonate-Sheet-3mm-Padat-Bening-Polikarbonat-Lembaran-Clear-i.358312392.3683120743</t>
        </is>
      </c>
      <c r="G3" t="n">
        <v>2</v>
      </c>
      <c r="H3" s="2">
        <f>E3*G3</f>
        <v/>
      </c>
      <c r="I3" s="11" t="n">
        <v>900000</v>
      </c>
    </row>
    <row r="4">
      <c r="A4" t="n">
        <v>3</v>
      </c>
      <c r="B4" t="inlineStr">
        <is>
          <t>NA</t>
        </is>
      </c>
      <c r="C4" t="inlineStr">
        <is>
          <t>HDPE Sheet</t>
        </is>
      </c>
      <c r="D4" t="inlineStr">
        <is>
          <t>6mm, 100cm x 200cm (1 lembar = 2m)</t>
        </is>
      </c>
      <c r="E4" s="2">
        <f>I4/$K$2</f>
        <v/>
      </c>
      <c r="F4" s="3" t="inlineStr">
        <is>
          <t>https://shopee.co.id/Nylon-PE-6mm-x-100cm-x-200cm-Lembaran-(-PolyEthylene-Sheet-HDPE-Plate-)-i.1247310023.49657775429</t>
        </is>
      </c>
      <c r="G4" t="n">
        <v>1</v>
      </c>
      <c r="H4" s="2">
        <f>E4*G4</f>
        <v/>
      </c>
      <c r="I4" s="11" t="n">
        <v>1300000</v>
      </c>
    </row>
    <row r="5">
      <c r="A5" t="n">
        <v>4</v>
      </c>
      <c r="B5" t="inlineStr">
        <is>
          <t>NA</t>
        </is>
      </c>
      <c r="C5" t="inlineStr">
        <is>
          <t>UHMW-PE Sheet</t>
        </is>
      </c>
      <c r="D5" t="inlineStr">
        <is>
          <t>12mm, 100cm x 200cm (1 lembar = 2m)</t>
        </is>
      </c>
      <c r="E5" s="2">
        <f>I5/$K$2</f>
        <v/>
      </c>
      <c r="F5" s="3" t="inlineStr">
        <is>
          <t>https://shopee.co.id/UHMWPE-12mm-100cm-x-200cm-Sheet-Lembaran-(-Polyethylene-)-i.43613792.9246365358</t>
        </is>
      </c>
      <c r="G5" t="n">
        <v>1</v>
      </c>
      <c r="H5" s="2">
        <f>E5*G5</f>
        <v/>
      </c>
      <c r="I5" s="11" t="n">
        <v>1800000</v>
      </c>
    </row>
    <row r="6">
      <c r="A6" t="n">
        <v>5</v>
      </c>
      <c r="B6" t="inlineStr">
        <is>
          <t>NA</t>
        </is>
      </c>
      <c r="C6" t="inlineStr">
        <is>
          <t>Akrilik (Acrylic) Sheet</t>
        </is>
      </c>
      <c r="D6" t="inlineStr">
        <is>
          <t>5mm, 100cm x 200cm (1 lembar = 2m)</t>
        </is>
      </c>
      <c r="E6" s="2">
        <f>I6/$K$2</f>
        <v/>
      </c>
      <c r="F6" s="3" t="inlineStr">
        <is>
          <t>https://shopee.co.id/MIKA-AKRILIK-LEMBARAN-ACRYLIC-SHEET-5MM-X-100CM-X-200CM-i.1277418402.27123815875</t>
        </is>
      </c>
      <c r="G6" t="n">
        <v>1</v>
      </c>
      <c r="H6" s="2">
        <f>E6*G6</f>
        <v/>
      </c>
      <c r="I6" s="11" t="n">
        <v>313000</v>
      </c>
    </row>
    <row r="7">
      <c r="A7" t="n">
        <v>6</v>
      </c>
      <c r="B7" t="inlineStr">
        <is>
          <t>NA</t>
        </is>
      </c>
      <c r="C7" t="inlineStr">
        <is>
          <t>Nylon (PA6) Rod</t>
        </is>
      </c>
      <c r="D7" t="inlineStr">
        <is>
          <t>Dia. 25mm x 1m (butuh 2 batang buat 2m)</t>
        </is>
      </c>
      <c r="E7" s="2">
        <f>I7/$K$2</f>
        <v/>
      </c>
      <c r="F7" s="3" t="inlineStr">
        <is>
          <t>https://shopee.co.id/Nylon-PA6-Putih-Batangan-(-PA6-Rod-White-)-Dia.-25-mm-x-1000-mm-i.68029486.1409073974</t>
        </is>
      </c>
      <c r="G7" t="n">
        <v>2</v>
      </c>
      <c r="H7" s="2">
        <f>E7*G7</f>
        <v/>
      </c>
      <c r="I7" s="11" t="n">
        <v>70000</v>
      </c>
    </row>
    <row r="8">
      <c r="A8" t="n">
        <v>7</v>
      </c>
      <c r="B8" t="inlineStr">
        <is>
          <t>REV-41-1600</t>
        </is>
      </c>
      <c r="C8" t="inlineStr">
        <is>
          <t>UltraPlanetary Gearbox Kit &amp; HD Hex Motor</t>
        </is>
      </c>
      <c r="D8" t="inlineStr">
        <is>
          <t>HD Hex Motor (buat Pelontar, 2 per bot x 2 bot)</t>
        </is>
      </c>
      <c r="E8" s="2" t="n">
        <v>50</v>
      </c>
      <c r="F8" s="3" t="inlineStr">
        <is>
          <t>https://www.revrobotics.com/rev-41-1600/</t>
        </is>
      </c>
      <c r="G8" t="n">
        <v>4</v>
      </c>
      <c r="H8" s="2">
        <f>E8*G8</f>
        <v/>
      </c>
    </row>
    <row r="10">
      <c r="G10" s="4" t="inlineStr">
        <is>
          <t>TOTAL KESELURUHAN</t>
        </is>
      </c>
      <c r="H10" s="5">
        <f>SUM(H2:H8)</f>
        <v/>
      </c>
    </row>
    <row r="11">
      <c r="G11" s="4" t="inlineStr">
        <is>
          <t>TOTAL KESELURUHAN (IDR)</t>
        </is>
      </c>
      <c r="H11" s="12">
        <f>H10*$K$2</f>
        <v/>
      </c>
    </row>
    <row r="12" ht="45" customHeight="1">
      <c r="A12" s="13" t="inlineStr">
        <is>
          <t>Catatan harga: HDPE, Akrilik, Nylon rod = harga referensi dari listing Tokopedia/Indonetwork setara (bukan exact page Shopee, Shopee tidak bisa di-scrape). UHMW &amp; Polikarbonat = perkiraan/estimasi kasar (diskalakan dari data lain). Kurs IDR di K2 itu referensi manual (bukan live/auto-update) - update sendiri kalau kursnya sudah berubah, semua total bakal otomatis hitung ulang.</t>
        </is>
      </c>
    </row>
  </sheetData>
  <mergeCells count="1">
    <mergeCell ref="A12:I12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0" customWidth="1" min="3" max="3"/>
    <col width="50" customWidth="1" min="4" max="4"/>
  </cols>
  <sheetData>
    <row r="1">
      <c r="A1" s="1" t="inlineStr">
        <is>
          <t>No.</t>
        </is>
      </c>
      <c r="B1" s="1" t="inlineStr">
        <is>
          <t>Material</t>
        </is>
      </c>
      <c r="C1" s="1" t="inlineStr">
        <is>
          <t>Karakteristik</t>
        </is>
      </c>
      <c r="D1" s="1" t="inlineStr">
        <is>
          <t>Link Beli</t>
        </is>
      </c>
    </row>
    <row r="2" ht="30" customHeight="1">
      <c r="A2" t="n">
        <v>1</v>
      </c>
      <c r="B2" t="inlineStr">
        <is>
          <t>Polikarbonat (Lexan)</t>
        </is>
      </c>
      <c r="C2" s="6" t="inlineStr">
        <is>
          <t>Sangat tahan benturan, ringan, bisa transparan, mudah dipotong, harga terjangkau. Bukan buat struktur penahan beban utama.</t>
        </is>
      </c>
      <c r="D2" s="3" t="inlineStr">
        <is>
          <t>https://shopee.co.id/Polycarbonate-Sheet-3mm-Padat-Bening-Polikarbonat-Lembaran-Clear-i.358312392.3683120743</t>
        </is>
      </c>
    </row>
    <row r="3" ht="30" customHeight="1">
      <c r="A3" t="n">
        <v>2</v>
      </c>
      <c r="B3" t="inlineStr">
        <is>
          <t>HDPE</t>
        </is>
      </c>
      <c r="C3" s="6" t="inlineStr">
        <is>
          <t>Relatif kuat, murah, ringan, tersedia lembaran relatif tipis. JANGAN dipotong laser (bisa terbakar).</t>
        </is>
      </c>
      <c r="D3" s="3" t="inlineStr">
        <is>
          <t>https://shopee.co.id/Nylon-PE-6mm-x-100cm-x-200cm-Lembaran-(-PolyEthylene-Sheet-HDPE-Plate-)-i.1247310023.49657775429</t>
        </is>
      </c>
    </row>
    <row r="4" ht="30" customHeight="1">
      <c r="A4" t="n">
        <v>3</v>
      </c>
      <c r="B4" t="inlineStr">
        <is>
          <t>UHMW-PE</t>
        </is>
      </c>
      <c r="C4" s="6" t="inlineStr">
        <is>
          <t>Kuat, sangat tahan aus/gesekan, relatif mahal, biasanya lebih tebal. Cocok buat rail slide.</t>
        </is>
      </c>
      <c r="D4" s="3" t="inlineStr">
        <is>
          <t>https://shopee.co.id/UHMWPE-12mm-100cm-x-200cm-Sheet-Lembaran-(-Polyethylene-)-i.43613792.9246365358</t>
        </is>
      </c>
    </row>
    <row r="5" ht="30" customHeight="1">
      <c r="A5" t="n">
        <v>4</v>
      </c>
      <c r="B5" t="inlineStr">
        <is>
          <t>Akrilik (Acrylic)</t>
        </is>
      </c>
      <c r="C5" s="6" t="inlineStr">
        <is>
          <t>Murah, tersedia lembaran tipis (2-3mm), TAPI getas/rapuh - bukan struktural, cuma panel dekoratif/funnel.</t>
        </is>
      </c>
      <c r="D5" s="3" t="inlineStr">
        <is>
          <t>https://shopee.co.id/Akrilik-Lembaran-Bening-3-mm-Acrylic-Sheet-Transparent-3mm-custom-laser-i.29403022.5739285630</t>
        </is>
      </c>
    </row>
    <row r="6" ht="30" customHeight="1">
      <c r="A6" t="n">
        <v>5</v>
      </c>
      <c r="B6" t="inlineStr">
        <is>
          <t>Nylon (PA6)</t>
        </is>
      </c>
      <c r="C6" s="6" t="inlineStr">
        <is>
          <t>Kuat, tahan aus, relatif mahal, umumnya batangan (rod) bukan lembaran tipis - cocok buat poros/bushing.</t>
        </is>
      </c>
      <c r="D6" s="3" t="inlineStr">
        <is>
          <t>https://shopee.co.id/nylon-rod-PA6-polyamide-110mm-engineering-plastic-resin-mc-cast-batang-i.418516762.21208902510</t>
        </is>
      </c>
    </row>
    <row r="7" ht="30" customHeight="1"/>
    <row r="8">
      <c r="A8" s="7" t="inlineStr">
        <is>
          <t>Catatan: Nggak ada material di atas yang dilarang FTC. Aturan umum yang berlaku ke semua material: R202 (tidak boleh ada sisi tajam terekspos) dan R203 (tidak boleh material berbahaya kecuali disegel/dilapisi aman).</t>
        </is>
      </c>
    </row>
  </sheetData>
  <mergeCells count="1">
    <mergeCell ref="A8:D8"/>
  </mergeCells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2026-08-20T08:34:44Z</dcterms:created>
  <dcterms:modified xsi:type="dcterms:W3CDTF">2026-08-20T09:29:40Z</dcterms:modified>
</cp:coreProperties>
</file>